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eelian\Downloads\"/>
    </mc:Choice>
  </mc:AlternateContent>
  <xr:revisionPtr revIDLastSave="0" documentId="13_ncr:1_{A59A4536-4F6F-4B99-867A-8E196711A3A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tailed" sheetId="1" r:id="rId1"/>
    <sheet name="Summary" sheetId="2" r:id="rId2"/>
  </sheets>
  <calcPr calcId="191029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" i="1"/>
</calcChain>
</file>

<file path=xl/sharedStrings.xml><?xml version="1.0" encoding="utf-8"?>
<sst xmlns="http://schemas.openxmlformats.org/spreadsheetml/2006/main" count="158" uniqueCount="93">
  <si>
    <t>Project No</t>
  </si>
  <si>
    <t>Vendor</t>
  </si>
  <si>
    <t>Invoice No</t>
  </si>
  <si>
    <t>Freight</t>
  </si>
  <si>
    <t>Local Charges</t>
  </si>
  <si>
    <t>Port Storage</t>
  </si>
  <si>
    <t>Transport Charges</t>
  </si>
  <si>
    <t>Reimbursement</t>
  </si>
  <si>
    <t>ST6754</t>
  </si>
  <si>
    <t>FM Global</t>
  </si>
  <si>
    <t>01PAGIN26007680S</t>
  </si>
  <si>
    <t>ST6724</t>
  </si>
  <si>
    <t>01PAGIN26007679S</t>
  </si>
  <si>
    <t>ST6675</t>
  </si>
  <si>
    <t>01PAGIN26007120S</t>
  </si>
  <si>
    <t>ST67521</t>
  </si>
  <si>
    <t>01PAGIN26007122S</t>
  </si>
  <si>
    <t>MP0742</t>
  </si>
  <si>
    <t>Unimaju</t>
  </si>
  <si>
    <t>IVL-2605/157</t>
  </si>
  <si>
    <t>PB0902</t>
  </si>
  <si>
    <t>Unimaju Global</t>
  </si>
  <si>
    <t>IVG-2604/030</t>
  </si>
  <si>
    <t>CSNU5684246</t>
  </si>
  <si>
    <t>Complete</t>
  </si>
  <si>
    <t>IV/2605/020</t>
  </si>
  <si>
    <t>PI2601-009</t>
  </si>
  <si>
    <t>CNC</t>
  </si>
  <si>
    <t>PI2603-017</t>
  </si>
  <si>
    <t>PI2601-008</t>
  </si>
  <si>
    <t>POD</t>
  </si>
  <si>
    <t>Sibu Sarawak</t>
  </si>
  <si>
    <t>ST6724/ ST6749</t>
  </si>
  <si>
    <t>Tema, Ghana</t>
  </si>
  <si>
    <t>ST6752/ ST6821</t>
  </si>
  <si>
    <t>Type</t>
  </si>
  <si>
    <t>LCL</t>
  </si>
  <si>
    <t>FCL (1 x 40'HC DG)</t>
  </si>
  <si>
    <t>Sintete kalimantan</t>
  </si>
  <si>
    <t>Barge</t>
  </si>
  <si>
    <t>IVG-2605/005</t>
  </si>
  <si>
    <t>CLS</t>
  </si>
  <si>
    <t>PO26-0488</t>
  </si>
  <si>
    <t xml:space="preserve">From Sydney </t>
  </si>
  <si>
    <t>PO265-1191</t>
  </si>
  <si>
    <t>From Wakayama</t>
  </si>
  <si>
    <t>PO25-2168</t>
  </si>
  <si>
    <t>From Kobe</t>
  </si>
  <si>
    <t>PO25-1424</t>
  </si>
  <si>
    <t>PO25-1970/ PO26-0199</t>
  </si>
  <si>
    <t>I29478IN</t>
  </si>
  <si>
    <t>I29506IN</t>
  </si>
  <si>
    <t>I29504IN</t>
  </si>
  <si>
    <t>I29505IN</t>
  </si>
  <si>
    <t>From Changzhou</t>
  </si>
  <si>
    <t>2 x 40'HC</t>
  </si>
  <si>
    <t>PO26-0292</t>
  </si>
  <si>
    <t>I29463IN</t>
  </si>
  <si>
    <t>From PKFZ</t>
  </si>
  <si>
    <t>WO26-0171</t>
  </si>
  <si>
    <t>I29482IN</t>
  </si>
  <si>
    <t>From Shanghai</t>
  </si>
  <si>
    <t>I00360DN</t>
  </si>
  <si>
    <t>PO26-1130</t>
  </si>
  <si>
    <t>I29491IN</t>
  </si>
  <si>
    <t xml:space="preserve">From Mumbai </t>
  </si>
  <si>
    <t>PO25-3926</t>
  </si>
  <si>
    <t>I29492IN</t>
  </si>
  <si>
    <t>From Narita</t>
  </si>
  <si>
    <t>PB0882</t>
  </si>
  <si>
    <t>E66372IN</t>
  </si>
  <si>
    <t>Pangkal Balam</t>
  </si>
  <si>
    <t>E1844CN</t>
  </si>
  <si>
    <t>MP0735T</t>
  </si>
  <si>
    <t>E66507IN</t>
  </si>
  <si>
    <t>Belawan</t>
  </si>
  <si>
    <t>MP0751T/ MP0783T/ MP0677</t>
  </si>
  <si>
    <t>E66367IN</t>
  </si>
  <si>
    <t>Surabaya</t>
  </si>
  <si>
    <t>1 x 40'HC</t>
  </si>
  <si>
    <t>PB0904</t>
  </si>
  <si>
    <t>E66483IN</t>
  </si>
  <si>
    <t xml:space="preserve">Colon </t>
  </si>
  <si>
    <t>E66558IN</t>
  </si>
  <si>
    <t>2 x 40'FR</t>
  </si>
  <si>
    <t>1 x 40'FR</t>
  </si>
  <si>
    <t>E66506IN</t>
  </si>
  <si>
    <t>Total (RM)</t>
  </si>
  <si>
    <t>Freight (RM)</t>
  </si>
  <si>
    <t>Local Charges (RM)</t>
  </si>
  <si>
    <t>Port Storage (RM)</t>
  </si>
  <si>
    <t>Transport Charges (RM)</t>
  </si>
  <si>
    <t>Reimbursement (RM)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</si>
</sst>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3" fillId="0" borderId="1" xfId="0" applyFont="1" applyBorder="1"/>
    <xf numFmtId="0" fontId="4" fillId="0" borderId="1" xfId="0" applyFont="1" applyBorder="1" applyAlignment="1">
      <alignment horizontal="center" vertical="top"/>
    </xf>
    <xf numFmtId="43" fontId="0" fillId="0" borderId="1" xfId="1" applyFont="1" applyBorder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6"/>
  <sheetViews>
    <sheetView tabSelected="1" zoomScaleNormal="100" workbookViewId="0">
      <selection activeCell="K25" sqref="K25"/>
    </sheetView>
  </sheetViews>
  <sheetFormatPr defaultRowHeight="15" x14ac:dyDescent="0.25"/>
  <cols>
    <col min="1" max="1" width="27.85546875" customWidth="1"/>
    <col min="2" max="2" width="14.7109375" bestFit="1" customWidth="1"/>
    <col min="3" max="3" width="18" bestFit="1" customWidth="1"/>
    <col min="4" max="5" width="18" customWidth="1"/>
    <col min="6" max="6" width="13.140625" customWidth="1"/>
    <col min="7" max="7" width="18" bestFit="1" customWidth="1"/>
    <col min="8" max="8" width="16.85546875" bestFit="1" customWidth="1"/>
    <col min="9" max="9" width="22.140625" bestFit="1" customWidth="1"/>
    <col min="10" max="10" width="20.42578125" bestFit="1" customWidth="1"/>
    <col min="11" max="11" width="13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30</v>
      </c>
      <c r="E1" s="1" t="s">
        <v>35</v>
      </c>
      <c r="F1" s="4" t="s">
        <v>88</v>
      </c>
      <c r="G1" s="4" t="s">
        <v>89</v>
      </c>
      <c r="H1" s="4" t="s">
        <v>90</v>
      </c>
      <c r="I1" s="4" t="s">
        <v>91</v>
      </c>
      <c r="J1" s="4" t="s">
        <v>92</v>
      </c>
      <c r="K1" s="3" t="s">
        <v>87</v>
      </c>
    </row>
    <row r="2" spans="1:11" x14ac:dyDescent="0.25">
      <c r="A2" s="2" t="s">
        <v>8</v>
      </c>
      <c r="B2" s="2" t="s">
        <v>9</v>
      </c>
      <c r="C2" s="2" t="s">
        <v>10</v>
      </c>
      <c r="D2" s="2" t="s">
        <v>31</v>
      </c>
      <c r="E2" s="2" t="s">
        <v>36</v>
      </c>
      <c r="F2" s="5">
        <v>250</v>
      </c>
      <c r="G2" s="5">
        <v>263.57</v>
      </c>
      <c r="H2" s="5">
        <v>0</v>
      </c>
      <c r="I2" s="5">
        <v>1336.43</v>
      </c>
      <c r="J2" s="5">
        <v>0</v>
      </c>
      <c r="K2" s="5">
        <f>SUM(F2:J2)</f>
        <v>1850</v>
      </c>
    </row>
    <row r="3" spans="1:11" x14ac:dyDescent="0.25">
      <c r="A3" s="2" t="s">
        <v>13</v>
      </c>
      <c r="B3" s="2" t="s">
        <v>9</v>
      </c>
      <c r="C3" s="2" t="s">
        <v>14</v>
      </c>
      <c r="D3" s="2" t="s">
        <v>33</v>
      </c>
      <c r="E3" s="2" t="s">
        <v>36</v>
      </c>
      <c r="F3" s="5">
        <v>608</v>
      </c>
      <c r="G3" s="5">
        <v>449.57</v>
      </c>
      <c r="H3" s="5">
        <v>0</v>
      </c>
      <c r="I3" s="5">
        <v>0</v>
      </c>
      <c r="J3" s="5">
        <v>159</v>
      </c>
      <c r="K3" s="5">
        <f t="shared" ref="K3:K25" si="0">SUM(F3:J3)</f>
        <v>1216.57</v>
      </c>
    </row>
    <row r="4" spans="1:11" x14ac:dyDescent="0.25">
      <c r="A4" s="2" t="s">
        <v>34</v>
      </c>
      <c r="B4" s="2" t="s">
        <v>9</v>
      </c>
      <c r="C4" s="2" t="s">
        <v>16</v>
      </c>
      <c r="D4" s="2" t="s">
        <v>31</v>
      </c>
      <c r="E4" s="2" t="s">
        <v>36</v>
      </c>
      <c r="F4" s="5">
        <v>327.60000000000002</v>
      </c>
      <c r="G4" s="5">
        <v>205.54</v>
      </c>
      <c r="H4" s="5">
        <v>0</v>
      </c>
      <c r="I4" s="5">
        <v>0</v>
      </c>
      <c r="J4" s="5">
        <v>0</v>
      </c>
      <c r="K4" s="5">
        <f t="shared" si="0"/>
        <v>533.14</v>
      </c>
    </row>
    <row r="5" spans="1:11" x14ac:dyDescent="0.25">
      <c r="A5" s="2" t="s">
        <v>32</v>
      </c>
      <c r="B5" s="2" t="s">
        <v>9</v>
      </c>
      <c r="C5" s="2" t="s">
        <v>12</v>
      </c>
      <c r="D5" s="2" t="s">
        <v>31</v>
      </c>
      <c r="E5" s="2" t="s">
        <v>36</v>
      </c>
      <c r="F5" s="5">
        <v>372.4</v>
      </c>
      <c r="G5" s="5">
        <v>226.41</v>
      </c>
      <c r="H5" s="5">
        <v>0</v>
      </c>
      <c r="I5" s="5">
        <v>0</v>
      </c>
      <c r="J5" s="5">
        <v>0</v>
      </c>
      <c r="K5" s="5">
        <f t="shared" si="0"/>
        <v>598.80999999999995</v>
      </c>
    </row>
    <row r="6" spans="1:11" x14ac:dyDescent="0.25">
      <c r="A6" s="2" t="s">
        <v>17</v>
      </c>
      <c r="B6" s="2" t="s">
        <v>18</v>
      </c>
      <c r="C6" s="2" t="s">
        <v>19</v>
      </c>
      <c r="D6" s="2" t="s">
        <v>31</v>
      </c>
      <c r="E6" s="2" t="s">
        <v>37</v>
      </c>
      <c r="F6" s="5">
        <v>4200</v>
      </c>
      <c r="G6" s="5">
        <v>12726.13</v>
      </c>
      <c r="H6" s="5">
        <v>0</v>
      </c>
      <c r="I6" s="5">
        <v>800</v>
      </c>
      <c r="J6" s="5">
        <v>0</v>
      </c>
      <c r="K6" s="5">
        <f t="shared" si="0"/>
        <v>17726.129999999997</v>
      </c>
    </row>
    <row r="7" spans="1:11" x14ac:dyDescent="0.25">
      <c r="A7" s="2" t="s">
        <v>20</v>
      </c>
      <c r="B7" s="2" t="s">
        <v>21</v>
      </c>
      <c r="C7" s="2" t="s">
        <v>22</v>
      </c>
      <c r="D7" s="2" t="s">
        <v>38</v>
      </c>
      <c r="E7" s="2" t="s">
        <v>39</v>
      </c>
      <c r="F7" s="5">
        <v>225814.3</v>
      </c>
      <c r="G7" s="5">
        <v>33524.410000000003</v>
      </c>
      <c r="H7" s="5">
        <v>0</v>
      </c>
      <c r="I7" s="5">
        <v>0</v>
      </c>
      <c r="J7" s="5">
        <v>0</v>
      </c>
      <c r="K7" s="5">
        <f t="shared" si="0"/>
        <v>259338.71</v>
      </c>
    </row>
    <row r="8" spans="1:11" x14ac:dyDescent="0.25">
      <c r="A8" s="2" t="s">
        <v>20</v>
      </c>
      <c r="B8" s="2" t="s">
        <v>21</v>
      </c>
      <c r="C8" s="2" t="s">
        <v>40</v>
      </c>
      <c r="D8" s="2" t="s">
        <v>38</v>
      </c>
      <c r="E8" s="2" t="s">
        <v>39</v>
      </c>
      <c r="F8" s="5">
        <v>0</v>
      </c>
      <c r="G8" s="5">
        <v>1038.8</v>
      </c>
      <c r="H8" s="5">
        <v>0</v>
      </c>
      <c r="I8" s="5">
        <v>0</v>
      </c>
      <c r="J8" s="5">
        <v>0</v>
      </c>
      <c r="K8" s="5">
        <f t="shared" si="0"/>
        <v>1038.8</v>
      </c>
    </row>
    <row r="9" spans="1:11" x14ac:dyDescent="0.25">
      <c r="A9" s="2" t="s">
        <v>42</v>
      </c>
      <c r="B9" s="2" t="s">
        <v>41</v>
      </c>
      <c r="C9" s="2" t="s">
        <v>25</v>
      </c>
      <c r="D9" s="2" t="s">
        <v>43</v>
      </c>
      <c r="E9" s="2" t="s">
        <v>36</v>
      </c>
      <c r="F9" s="5">
        <v>0</v>
      </c>
      <c r="G9" s="5">
        <v>265</v>
      </c>
      <c r="H9" s="5">
        <v>0</v>
      </c>
      <c r="I9" s="5">
        <v>477</v>
      </c>
      <c r="J9" s="5">
        <v>1176.07</v>
      </c>
      <c r="K9" s="5">
        <f t="shared" si="0"/>
        <v>1918.07</v>
      </c>
    </row>
    <row r="10" spans="1:11" x14ac:dyDescent="0.25">
      <c r="A10" s="2" t="s">
        <v>44</v>
      </c>
      <c r="B10" s="2" t="s">
        <v>27</v>
      </c>
      <c r="C10" s="2" t="s">
        <v>53</v>
      </c>
      <c r="D10" s="2" t="s">
        <v>45</v>
      </c>
      <c r="E10" s="2" t="s">
        <v>36</v>
      </c>
      <c r="F10" s="5">
        <v>0</v>
      </c>
      <c r="G10" s="5">
        <v>0</v>
      </c>
      <c r="H10" s="5">
        <v>129.31</v>
      </c>
      <c r="I10" s="5">
        <v>0</v>
      </c>
      <c r="J10" s="5">
        <v>0</v>
      </c>
      <c r="K10" s="5">
        <f t="shared" si="0"/>
        <v>129.31</v>
      </c>
    </row>
    <row r="11" spans="1:11" x14ac:dyDescent="0.25">
      <c r="A11" s="2" t="s">
        <v>46</v>
      </c>
      <c r="B11" s="2" t="s">
        <v>27</v>
      </c>
      <c r="C11" s="2" t="s">
        <v>52</v>
      </c>
      <c r="D11" s="2" t="s">
        <v>47</v>
      </c>
      <c r="E11" s="2" t="s">
        <v>36</v>
      </c>
      <c r="F11" s="5">
        <v>0</v>
      </c>
      <c r="G11" s="5">
        <v>0</v>
      </c>
      <c r="H11" s="5">
        <v>177.78</v>
      </c>
      <c r="I11" s="5">
        <v>0</v>
      </c>
      <c r="J11" s="5">
        <v>0</v>
      </c>
      <c r="K11" s="5">
        <f t="shared" si="0"/>
        <v>177.78</v>
      </c>
    </row>
    <row r="12" spans="1:11" x14ac:dyDescent="0.25">
      <c r="A12" s="2" t="s">
        <v>48</v>
      </c>
      <c r="B12" s="2" t="s">
        <v>27</v>
      </c>
      <c r="C12" s="2" t="s">
        <v>51</v>
      </c>
      <c r="D12" s="2" t="s">
        <v>45</v>
      </c>
      <c r="E12" s="2" t="s">
        <v>36</v>
      </c>
      <c r="F12" s="5">
        <v>0</v>
      </c>
      <c r="G12" s="5">
        <v>0</v>
      </c>
      <c r="H12" s="5">
        <v>13125.45</v>
      </c>
      <c r="I12" s="5">
        <v>0</v>
      </c>
      <c r="J12" s="5">
        <v>0</v>
      </c>
      <c r="K12" s="5">
        <f t="shared" si="0"/>
        <v>13125.45</v>
      </c>
    </row>
    <row r="13" spans="1:11" x14ac:dyDescent="0.25">
      <c r="A13" s="2" t="s">
        <v>49</v>
      </c>
      <c r="B13" s="2" t="s">
        <v>27</v>
      </c>
      <c r="C13" s="2" t="s">
        <v>50</v>
      </c>
      <c r="D13" s="2" t="s">
        <v>54</v>
      </c>
      <c r="E13" s="2" t="s">
        <v>55</v>
      </c>
      <c r="F13" s="5"/>
      <c r="G13" s="5">
        <v>2989.2</v>
      </c>
      <c r="H13" s="5"/>
      <c r="I13" s="5">
        <v>1590</v>
      </c>
      <c r="J13" s="5">
        <v>2467.3200000000002</v>
      </c>
      <c r="K13" s="5">
        <f t="shared" si="0"/>
        <v>7046.52</v>
      </c>
    </row>
    <row r="14" spans="1:11" x14ac:dyDescent="0.25">
      <c r="A14" s="2" t="s">
        <v>56</v>
      </c>
      <c r="B14" s="2" t="s">
        <v>27</v>
      </c>
      <c r="C14" s="2" t="s">
        <v>57</v>
      </c>
      <c r="D14" s="2" t="s">
        <v>58</v>
      </c>
      <c r="E14" s="2" t="s">
        <v>36</v>
      </c>
      <c r="F14" s="5"/>
      <c r="G14" s="5">
        <v>275.60000000000002</v>
      </c>
      <c r="H14" s="5"/>
      <c r="I14" s="5">
        <v>1272</v>
      </c>
      <c r="J14" s="5"/>
      <c r="K14" s="5">
        <f t="shared" si="0"/>
        <v>1547.6</v>
      </c>
    </row>
    <row r="15" spans="1:11" x14ac:dyDescent="0.25">
      <c r="A15" s="2" t="s">
        <v>59</v>
      </c>
      <c r="B15" s="2" t="s">
        <v>27</v>
      </c>
      <c r="C15" s="2" t="s">
        <v>60</v>
      </c>
      <c r="D15" s="2" t="s">
        <v>61</v>
      </c>
      <c r="E15" s="2" t="s">
        <v>36</v>
      </c>
      <c r="F15" s="5"/>
      <c r="G15" s="5">
        <v>1386.82</v>
      </c>
      <c r="H15" s="5"/>
      <c r="I15" s="5">
        <v>1060</v>
      </c>
      <c r="J15" s="5"/>
      <c r="K15" s="5">
        <f t="shared" si="0"/>
        <v>2446.8199999999997</v>
      </c>
    </row>
    <row r="16" spans="1:11" x14ac:dyDescent="0.25">
      <c r="A16" s="2" t="s">
        <v>59</v>
      </c>
      <c r="B16" s="2" t="s">
        <v>27</v>
      </c>
      <c r="C16" s="2" t="s">
        <v>62</v>
      </c>
      <c r="D16" s="2" t="s">
        <v>61</v>
      </c>
      <c r="E16" s="2" t="s">
        <v>36</v>
      </c>
      <c r="F16" s="5"/>
      <c r="G16" s="5">
        <v>31.46</v>
      </c>
      <c r="H16" s="5"/>
      <c r="I16" s="5"/>
      <c r="J16" s="5"/>
      <c r="K16" s="5">
        <f t="shared" si="0"/>
        <v>31.46</v>
      </c>
    </row>
    <row r="17" spans="1:11" x14ac:dyDescent="0.25">
      <c r="A17" s="2" t="s">
        <v>63</v>
      </c>
      <c r="B17" s="2" t="s">
        <v>27</v>
      </c>
      <c r="C17" s="2" t="s">
        <v>64</v>
      </c>
      <c r="D17" s="2" t="s">
        <v>65</v>
      </c>
      <c r="E17" s="2" t="s">
        <v>36</v>
      </c>
      <c r="F17" s="5"/>
      <c r="G17" s="5">
        <v>525.23</v>
      </c>
      <c r="H17" s="5"/>
      <c r="I17" s="5">
        <v>318</v>
      </c>
      <c r="J17" s="5"/>
      <c r="K17" s="5">
        <f t="shared" si="0"/>
        <v>843.23</v>
      </c>
    </row>
    <row r="18" spans="1:11" x14ac:dyDescent="0.25">
      <c r="A18" s="2" t="s">
        <v>66</v>
      </c>
      <c r="B18" s="2" t="s">
        <v>27</v>
      </c>
      <c r="C18" s="2" t="s">
        <v>67</v>
      </c>
      <c r="D18" s="2" t="s">
        <v>68</v>
      </c>
      <c r="E18" s="2" t="s">
        <v>36</v>
      </c>
      <c r="F18" s="5"/>
      <c r="G18" s="5">
        <v>1256.46</v>
      </c>
      <c r="H18" s="5"/>
      <c r="I18" s="5">
        <v>318</v>
      </c>
      <c r="J18" s="5"/>
      <c r="K18" s="5">
        <f t="shared" si="0"/>
        <v>1574.46</v>
      </c>
    </row>
    <row r="19" spans="1:11" x14ac:dyDescent="0.25">
      <c r="A19" s="2" t="s">
        <v>69</v>
      </c>
      <c r="B19" s="2" t="s">
        <v>27</v>
      </c>
      <c r="C19" s="2" t="s">
        <v>70</v>
      </c>
      <c r="D19" s="2" t="s">
        <v>71</v>
      </c>
      <c r="E19" s="2" t="s">
        <v>39</v>
      </c>
      <c r="F19" s="5">
        <v>362448.05</v>
      </c>
      <c r="G19" s="5"/>
      <c r="H19" s="5"/>
      <c r="I19" s="5"/>
      <c r="J19" s="5"/>
      <c r="K19" s="5">
        <f t="shared" si="0"/>
        <v>362448.05</v>
      </c>
    </row>
    <row r="20" spans="1:11" x14ac:dyDescent="0.25">
      <c r="A20" s="2" t="s">
        <v>69</v>
      </c>
      <c r="B20" s="2" t="s">
        <v>27</v>
      </c>
      <c r="C20" s="2" t="s">
        <v>72</v>
      </c>
      <c r="D20" s="2" t="s">
        <v>71</v>
      </c>
      <c r="E20" s="2" t="s">
        <v>39</v>
      </c>
      <c r="F20" s="5">
        <v>-338013.35</v>
      </c>
      <c r="G20" s="5">
        <v>25900.78</v>
      </c>
      <c r="H20" s="5"/>
      <c r="I20" s="5"/>
      <c r="J20" s="5"/>
      <c r="K20" s="5">
        <f t="shared" si="0"/>
        <v>-312112.56999999995</v>
      </c>
    </row>
    <row r="21" spans="1:11" x14ac:dyDescent="0.25">
      <c r="A21" s="2" t="s">
        <v>73</v>
      </c>
      <c r="B21" s="2" t="s">
        <v>27</v>
      </c>
      <c r="C21" s="2" t="s">
        <v>74</v>
      </c>
      <c r="D21" s="2" t="s">
        <v>75</v>
      </c>
      <c r="E21" s="2" t="s">
        <v>85</v>
      </c>
      <c r="F21" s="5">
        <v>9195.5499999999993</v>
      </c>
      <c r="G21" s="5">
        <v>24014.2</v>
      </c>
      <c r="H21" s="5"/>
      <c r="I21" s="5">
        <v>1272</v>
      </c>
      <c r="J21" s="5"/>
      <c r="K21" s="5">
        <f t="shared" si="0"/>
        <v>34481.75</v>
      </c>
    </row>
    <row r="22" spans="1:11" x14ac:dyDescent="0.25">
      <c r="A22" s="2" t="s">
        <v>76</v>
      </c>
      <c r="B22" s="2" t="s">
        <v>27</v>
      </c>
      <c r="C22" s="2" t="s">
        <v>77</v>
      </c>
      <c r="D22" s="2" t="s">
        <v>78</v>
      </c>
      <c r="E22" s="2" t="s">
        <v>79</v>
      </c>
      <c r="F22" s="5">
        <v>737.46</v>
      </c>
      <c r="G22" s="5">
        <v>3449.46</v>
      </c>
      <c r="H22" s="5"/>
      <c r="I22" s="5">
        <v>636</v>
      </c>
      <c r="J22" s="5"/>
      <c r="K22" s="5">
        <f t="shared" si="0"/>
        <v>4822.92</v>
      </c>
    </row>
    <row r="23" spans="1:11" x14ac:dyDescent="0.25">
      <c r="A23" s="2" t="s">
        <v>80</v>
      </c>
      <c r="B23" s="2" t="s">
        <v>27</v>
      </c>
      <c r="C23" s="2" t="s">
        <v>81</v>
      </c>
      <c r="D23" s="2" t="s">
        <v>82</v>
      </c>
      <c r="E23" s="2" t="s">
        <v>55</v>
      </c>
      <c r="F23" s="5">
        <v>0</v>
      </c>
      <c r="G23" s="5">
        <v>3307.2</v>
      </c>
      <c r="H23" s="5"/>
      <c r="I23" s="5"/>
      <c r="J23" s="5">
        <v>2281.12</v>
      </c>
      <c r="K23" s="5">
        <f t="shared" si="0"/>
        <v>5588.32</v>
      </c>
    </row>
    <row r="24" spans="1:11" x14ac:dyDescent="0.25">
      <c r="A24" s="2" t="s">
        <v>80</v>
      </c>
      <c r="B24" s="2" t="s">
        <v>27</v>
      </c>
      <c r="C24" s="2" t="s">
        <v>83</v>
      </c>
      <c r="D24" s="2" t="s">
        <v>82</v>
      </c>
      <c r="E24" s="2" t="s">
        <v>84</v>
      </c>
      <c r="F24" s="5"/>
      <c r="G24" s="5"/>
      <c r="H24" s="5"/>
      <c r="I24" s="5"/>
      <c r="J24" s="5">
        <v>4144.6000000000004</v>
      </c>
      <c r="K24" s="5">
        <f t="shared" si="0"/>
        <v>4144.6000000000004</v>
      </c>
    </row>
    <row r="25" spans="1:11" x14ac:dyDescent="0.25">
      <c r="A25" s="2" t="s">
        <v>80</v>
      </c>
      <c r="B25" s="2" t="s">
        <v>27</v>
      </c>
      <c r="C25" s="2" t="s">
        <v>86</v>
      </c>
      <c r="D25" s="2" t="s">
        <v>82</v>
      </c>
      <c r="E25" s="2" t="s">
        <v>84</v>
      </c>
      <c r="F25" s="5"/>
      <c r="G25" s="5">
        <v>12953.2</v>
      </c>
      <c r="H25" s="5"/>
      <c r="I25" s="5">
        <v>4240</v>
      </c>
      <c r="J25" s="5"/>
      <c r="K25" s="5">
        <f t="shared" si="0"/>
        <v>17193.2</v>
      </c>
    </row>
    <row r="26" spans="1:11" x14ac:dyDescent="0.25">
      <c r="F26" s="6"/>
      <c r="G26" s="6"/>
      <c r="H26" s="6"/>
      <c r="I26" s="6"/>
      <c r="J26" s="6"/>
      <c r="K26" s="6"/>
    </row>
  </sheetData>
  <pageMargins left="0.25" right="0.25" top="0.75" bottom="0.75" header="0.3" footer="0.3"/>
  <pageSetup scale="6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activeCell="D14" sqref="D14"/>
    </sheetView>
  </sheetViews>
  <sheetFormatPr defaultRowHeight="15" x14ac:dyDescent="0.25"/>
  <cols>
    <col min="1" max="1" width="12.85546875" bestFit="1" customWidth="1"/>
    <col min="2" max="2" width="14.7109375" bestFit="1" customWidth="1"/>
    <col min="3" max="3" width="9" bestFit="1" customWidth="1"/>
    <col min="4" max="4" width="12.85546875" bestFit="1" customWidth="1"/>
    <col min="5" max="5" width="11.85546875" bestFit="1" customWidth="1"/>
    <col min="6" max="6" width="17" bestFit="1" customWidth="1"/>
    <col min="7" max="7" width="15.42578125" bestFit="1" customWidth="1"/>
  </cols>
  <sheetData>
    <row r="1" spans="1:7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5">
      <c r="A2" t="s">
        <v>23</v>
      </c>
      <c r="B2" t="s">
        <v>24</v>
      </c>
      <c r="C2">
        <v>0</v>
      </c>
      <c r="D2">
        <v>250</v>
      </c>
      <c r="E2">
        <v>0</v>
      </c>
      <c r="F2">
        <v>450</v>
      </c>
      <c r="G2">
        <v>1176.07</v>
      </c>
    </row>
    <row r="3" spans="1:7" x14ac:dyDescent="0.25">
      <c r="A3" t="s">
        <v>17</v>
      </c>
      <c r="B3" t="s">
        <v>18</v>
      </c>
      <c r="C3">
        <v>5700</v>
      </c>
      <c r="D3">
        <v>1420</v>
      </c>
      <c r="E3">
        <v>0</v>
      </c>
      <c r="F3">
        <v>1350</v>
      </c>
      <c r="G3">
        <v>0</v>
      </c>
    </row>
    <row r="4" spans="1:7" x14ac:dyDescent="0.25">
      <c r="A4" t="s">
        <v>20</v>
      </c>
      <c r="B4" t="s">
        <v>21</v>
      </c>
      <c r="C4">
        <v>225814.3</v>
      </c>
      <c r="D4">
        <v>31146.799999999999</v>
      </c>
      <c r="E4">
        <v>0</v>
      </c>
      <c r="F4">
        <v>0</v>
      </c>
      <c r="G4">
        <v>0</v>
      </c>
    </row>
    <row r="5" spans="1:7" x14ac:dyDescent="0.25">
      <c r="A5" t="s">
        <v>29</v>
      </c>
      <c r="B5" t="s">
        <v>27</v>
      </c>
      <c r="C5">
        <v>0</v>
      </c>
      <c r="D5">
        <v>0</v>
      </c>
      <c r="E5">
        <v>13125.45</v>
      </c>
      <c r="F5">
        <v>0</v>
      </c>
      <c r="G5">
        <v>0</v>
      </c>
    </row>
    <row r="6" spans="1:7" x14ac:dyDescent="0.25">
      <c r="A6" t="s">
        <v>26</v>
      </c>
      <c r="B6" t="s">
        <v>27</v>
      </c>
      <c r="C6">
        <v>0</v>
      </c>
      <c r="D6">
        <v>0</v>
      </c>
      <c r="E6">
        <v>129.31</v>
      </c>
      <c r="F6">
        <v>0</v>
      </c>
      <c r="G6">
        <v>0</v>
      </c>
    </row>
    <row r="7" spans="1:7" x14ac:dyDescent="0.25">
      <c r="A7" t="s">
        <v>28</v>
      </c>
      <c r="B7" t="s">
        <v>27</v>
      </c>
      <c r="C7">
        <v>0</v>
      </c>
      <c r="D7">
        <v>0</v>
      </c>
      <c r="E7">
        <v>177.78</v>
      </c>
      <c r="F7">
        <v>0</v>
      </c>
      <c r="G7">
        <v>0</v>
      </c>
    </row>
    <row r="8" spans="1:7" x14ac:dyDescent="0.25">
      <c r="A8" t="s">
        <v>13</v>
      </c>
      <c r="B8" t="s">
        <v>9</v>
      </c>
      <c r="C8">
        <v>689.52</v>
      </c>
      <c r="D8">
        <v>497.22</v>
      </c>
      <c r="E8">
        <v>0</v>
      </c>
      <c r="F8">
        <v>0</v>
      </c>
      <c r="G8">
        <v>0</v>
      </c>
    </row>
    <row r="9" spans="1:7" x14ac:dyDescent="0.25">
      <c r="A9" t="s">
        <v>11</v>
      </c>
      <c r="B9" t="s">
        <v>9</v>
      </c>
      <c r="C9">
        <v>526.02</v>
      </c>
      <c r="D9">
        <v>61.97</v>
      </c>
      <c r="E9">
        <v>0</v>
      </c>
      <c r="F9">
        <v>0</v>
      </c>
      <c r="G9">
        <v>0</v>
      </c>
    </row>
    <row r="10" spans="1:7" x14ac:dyDescent="0.25">
      <c r="A10" t="s">
        <v>15</v>
      </c>
      <c r="B10" t="s">
        <v>9</v>
      </c>
      <c r="C10">
        <v>461</v>
      </c>
      <c r="D10">
        <v>60.53</v>
      </c>
      <c r="E10">
        <v>0</v>
      </c>
      <c r="F10">
        <v>0</v>
      </c>
      <c r="G10">
        <v>0</v>
      </c>
    </row>
    <row r="11" spans="1:7" x14ac:dyDescent="0.25">
      <c r="A11" t="s">
        <v>8</v>
      </c>
      <c r="B11" t="s">
        <v>9</v>
      </c>
      <c r="C11">
        <v>364</v>
      </c>
      <c r="D11">
        <v>1395.43</v>
      </c>
      <c r="E11">
        <v>0</v>
      </c>
      <c r="F11">
        <v>0</v>
      </c>
      <c r="G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Lilian Cheng Yee Lian</cp:lastModifiedBy>
  <cp:lastPrinted>2026-06-08T04:17:56Z</cp:lastPrinted>
  <dcterms:created xsi:type="dcterms:W3CDTF">2026-06-08T02:44:56Z</dcterms:created>
  <dcterms:modified xsi:type="dcterms:W3CDTF">2026-06-08T06:55:18Z</dcterms:modified>
</cp:coreProperties>
</file>